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ional_Revenue_Data" sheetId="1" state="visible" r:id="rId3"/>
    <sheet name="Global_Summary" sheetId="2" state="visible" r:id="rId4"/>
    <sheet name="Notes_and_Assumpt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<sst xmlns="http://schemas.openxmlformats.org/spreadsheetml/2006/main" count="95" uniqueCount="29">
  <si>
    <t xml:space="preserve">Year</t>
  </si>
  <si>
    <t xml:space="preserve">Region</t>
  </si>
  <si>
    <t xml:space="preserve">Revenue_USD_Thousands</t>
  </si>
  <si>
    <t xml:space="preserve">Paid_Memberships_Thousands</t>
  </si>
  <si>
    <t xml:space="preserve">Subscriber_Count_Type</t>
  </si>
  <si>
    <t xml:space="preserve">ARM_USD_Monthly</t>
  </si>
  <si>
    <t xml:space="preserve">Revenue_Share_Pct</t>
  </si>
  <si>
    <t xml:space="preserve">Source</t>
  </si>
  <si>
    <t xml:space="preserve">UCAN</t>
  </si>
  <si>
    <t xml:space="preserve">Reported</t>
  </si>
  <si>
    <t xml:space="preserve">Netflix 10-K / ARS filings (SEC EDGAR); 2023 UCAN &amp; EMEA memberships and all 2025 regional memberships are estimated — see Notes_and_Assumptions</t>
  </si>
  <si>
    <t xml:space="preserve">EMEA</t>
  </si>
  <si>
    <t xml:space="preserve">LATAM</t>
  </si>
  <si>
    <t xml:space="preserve">APAC</t>
  </si>
  <si>
    <t xml:space="preserve">Estimated</t>
  </si>
  <si>
    <t xml:space="preserve">Total_Revenue_USD_Thousands</t>
  </si>
  <si>
    <t xml:space="preserve">YoY_Growth_Pct</t>
  </si>
  <si>
    <t xml:space="preserve">Total_Paid_Memberships_Thousands</t>
  </si>
  <si>
    <t xml:space="preserve">Global_ARM_USD_Monthly</t>
  </si>
  <si>
    <t xml:space="preserve">N/A</t>
  </si>
  <si>
    <t xml:space="preserve">NETFLIX ANNUAL SUBSCRIPTION REVENUE MODEL — DATA NOTES</t>
  </si>
  <si>
    <t xml:space="preserve">1. SOURCE: All 'Reported' figures are Netflix's own audited regional segment disclosures (Form 10-K and Annual Report to Shareholders, filed with the U.S. SEC — sec.gov/edgar, CIK 0001065280).</t>
  </si>
  <si>
    <t xml:space="preserve">2. REGIONS: Netflix reports four geographic segments — United States &amp; Canada (UCAN), Europe/Middle East/Africa (EMEA), Latin America (LATAM), Asia-Pacific (APAC).</t>
  </si>
  <si>
    <t xml:space="preserve">3. ARM (Average Revenue per Membership): calculated as regional annual revenue divided by regional paid memberships at year end, divided by 12 months. This mirrors Netflix's own published ARM methodology through FY2024.</t>
  </si>
  <si>
    <t xml:space="preserve">4. ESTIMATES — read before citing as fact:</t>
  </si>
  <si>
    <t xml:space="preserve">   - 2023 UCAN and EMEA memberships: Netflix's FY2023 10-K did not break out exact regional membership counts in the same table as revenue for these two regions in the source material used here. Values were derived from Netflix's disclosed regional YoY subscriber growth rates (UCAN +7.8%, EMEA +15.7% in 2023) applied to the confirmed FY2022 base. LATAM and APAC 2023 figures ARE directly reported (45,997K and 45,338K respectively).</t>
  </si>
  <si>
    <t xml:space="preserve">   - 2025 regional memberships: Netflix stopped disclosing a full regional membership/ARM breakdown starting with its Q1 2025 shareholder letter (it still reports total global subscribers). The 2025 regional splits here are estimated by applying each region's most recent observed growth trajectory to the FY2024 base, scaled so regions sum to Netflix's confirmed FY2025 total of ~325 million paid members. Treat 2025 regional ARM as directional, not exact.</t>
  </si>
  <si>
    <t xml:space="preserve">5. All revenue figures are in USD thousands, consistent with Netflix's own filing convention.</t>
  </si>
  <si>
    <t xml:space="preserve">6. Recommended citation in your report/dashboard: 'Netflix, Inc. Form 10-K and Annual Report to Shareholders, various years, U.S. Securities and Exchange Commission (sec.gov/edgar). 2023 UCAN/EMEA and all 2025 regional subscriber splits are analyst estimates.'</t>
  </si>
</sst>
</file>

<file path=xl/styles.xml><?xml version="1.0" encoding="utf-8"?>
<styleSheet xmlns="http://schemas.openxmlformats.org/spreadsheetml/2006/main">
  <numFmts count="4">
    <numFmt numFmtId="164" formatCode="General"/>
    <numFmt numFmtId="165" formatCode="\$#,##0.00"/>
    <numFmt numFmtId="166" formatCode="0.0%"/>
    <numFmt numFmtId="167" formatCode="\$#,##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1"/>
      <color rgb="FF0000FF"/>
      <name val="Arial"/>
      <family val="0"/>
      <charset val="1"/>
    </font>
    <font>
      <b val="true"/>
      <sz val="13"/>
      <color rgb="FFE50914"/>
      <name val="Arial"/>
      <family val="0"/>
      <charset val="1"/>
    </font>
  </fonts>
  <fills count="3">
    <fill>
      <patternFill patternType="none"/>
    </fill>
    <fill>
      <patternFill patternType="gray125"/>
    </fill>
    <fill>
      <patternFill patternType="solid">
        <fgColor rgb="FFE50914"/>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50914"/>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2"/>
    <col collapsed="false" customWidth="true" hidden="false" outlineLevel="0" max="4" min="4" style="0" width="24"/>
    <col collapsed="false" customWidth="true" hidden="false" outlineLevel="0" max="5" min="5" style="0" width="18"/>
    <col collapsed="false" customWidth="true" hidden="false" outlineLevel="0" max="7" min="6" style="0" width="16"/>
    <col collapsed="false" customWidth="true" hidden="false" outlineLevel="0" max="8" min="8" style="0" width="60"/>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n">
        <v>2020</v>
      </c>
      <c r="B2" s="2" t="s">
        <v>8</v>
      </c>
      <c r="C2" s="3" t="n">
        <v>11455396</v>
      </c>
      <c r="D2" s="3" t="n">
        <v>73936</v>
      </c>
      <c r="E2" s="2" t="s">
        <v>9</v>
      </c>
      <c r="F2" s="4" t="n">
        <f aca="false">C2/D2/12</f>
        <v>12.9113873259756</v>
      </c>
      <c r="G2" s="5" t="n">
        <f aca="false">C2/SUMIFS($C$2:$C$25,$A$2:$A$25,A2)</f>
        <v>0.462719488784338</v>
      </c>
      <c r="H2" s="2" t="s">
        <v>10</v>
      </c>
    </row>
    <row r="3" customFormat="false" ht="15" hidden="false" customHeight="false" outlineLevel="0" collapsed="false">
      <c r="A3" s="2" t="n">
        <v>2020</v>
      </c>
      <c r="B3" s="2" t="s">
        <v>11</v>
      </c>
      <c r="C3" s="3" t="n">
        <v>7772252</v>
      </c>
      <c r="D3" s="3" t="n">
        <v>66698</v>
      </c>
      <c r="E3" s="2" t="s">
        <v>9</v>
      </c>
      <c r="F3" s="4" t="n">
        <f aca="false">C3/D3/12</f>
        <v>9.71075094705489</v>
      </c>
      <c r="G3" s="5" t="n">
        <f aca="false">C3/SUMIFS($C$2:$C$25,$A$2:$A$25,A3)</f>
        <v>0.313945713630768</v>
      </c>
      <c r="H3" s="2" t="s">
        <v>10</v>
      </c>
    </row>
    <row r="4" customFormat="false" ht="15" hidden="false" customHeight="false" outlineLevel="0" collapsed="false">
      <c r="A4" s="2" t="n">
        <v>2020</v>
      </c>
      <c r="B4" s="2" t="s">
        <v>12</v>
      </c>
      <c r="C4" s="3" t="n">
        <v>3156727</v>
      </c>
      <c r="D4" s="3" t="n">
        <v>37537</v>
      </c>
      <c r="E4" s="2" t="s">
        <v>9</v>
      </c>
      <c r="F4" s="4" t="n">
        <f aca="false">C4/D4/12</f>
        <v>7.00803429505111</v>
      </c>
      <c r="G4" s="5" t="n">
        <f aca="false">C4/SUMIFS($C$2:$C$25,$A$2:$A$25,A4)</f>
        <v>0.127510136155199</v>
      </c>
      <c r="H4" s="2" t="s">
        <v>10</v>
      </c>
    </row>
    <row r="5" customFormat="false" ht="15" hidden="false" customHeight="false" outlineLevel="0" collapsed="false">
      <c r="A5" s="2" t="n">
        <v>2020</v>
      </c>
      <c r="B5" s="2" t="s">
        <v>13</v>
      </c>
      <c r="C5" s="3" t="n">
        <v>2372300</v>
      </c>
      <c r="D5" s="3" t="n">
        <v>25492</v>
      </c>
      <c r="E5" s="2" t="s">
        <v>9</v>
      </c>
      <c r="F5" s="4" t="n">
        <f aca="false">C5/D5/12</f>
        <v>7.75504733511167</v>
      </c>
      <c r="G5" s="5" t="n">
        <f aca="false">C5/SUMIFS($C$2:$C$25,$A$2:$A$25,A5)</f>
        <v>0.0958246614296952</v>
      </c>
      <c r="H5" s="2" t="s">
        <v>10</v>
      </c>
    </row>
    <row r="6" customFormat="false" ht="15" hidden="false" customHeight="false" outlineLevel="0" collapsed="false">
      <c r="A6" s="2" t="n">
        <v>2021</v>
      </c>
      <c r="B6" s="2" t="s">
        <v>8</v>
      </c>
      <c r="C6" s="3" t="n">
        <v>12972100</v>
      </c>
      <c r="D6" s="3" t="n">
        <v>75215</v>
      </c>
      <c r="E6" s="2" t="s">
        <v>9</v>
      </c>
      <c r="F6" s="4" t="n">
        <f aca="false">C6/D6/12</f>
        <v>14.3722440116112</v>
      </c>
      <c r="G6" s="5" t="n">
        <f aca="false">C6/SUMIFS($C$2:$C$25,$A$2:$A$25,A6)</f>
        <v>0.439501338551112</v>
      </c>
      <c r="H6" s="2" t="s">
        <v>10</v>
      </c>
    </row>
    <row r="7" customFormat="false" ht="15" hidden="false" customHeight="false" outlineLevel="0" collapsed="false">
      <c r="A7" s="2" t="n">
        <v>2021</v>
      </c>
      <c r="B7" s="2" t="s">
        <v>11</v>
      </c>
      <c r="C7" s="3" t="n">
        <v>9699819</v>
      </c>
      <c r="D7" s="3" t="n">
        <v>74036</v>
      </c>
      <c r="E7" s="2" t="s">
        <v>9</v>
      </c>
      <c r="F7" s="4" t="n">
        <f aca="false">C7/D7/12</f>
        <v>10.9179081798044</v>
      </c>
      <c r="G7" s="5" t="n">
        <f aca="false">C7/SUMIFS($C$2:$C$25,$A$2:$A$25,A7)</f>
        <v>0.328634795769653</v>
      </c>
      <c r="H7" s="2" t="s">
        <v>10</v>
      </c>
    </row>
    <row r="8" customFormat="false" ht="15" hidden="false" customHeight="false" outlineLevel="0" collapsed="false">
      <c r="A8" s="2" t="n">
        <v>2021</v>
      </c>
      <c r="B8" s="2" t="s">
        <v>12</v>
      </c>
      <c r="C8" s="3" t="n">
        <v>3576976</v>
      </c>
      <c r="D8" s="3" t="n">
        <v>39961</v>
      </c>
      <c r="E8" s="2" t="s">
        <v>9</v>
      </c>
      <c r="F8" s="4" t="n">
        <f aca="false">C8/D8/12</f>
        <v>7.45930615683625</v>
      </c>
      <c r="G8" s="5" t="n">
        <f aca="false">C8/SUMIFS($C$2:$C$25,$A$2:$A$25,A8)</f>
        <v>0.121189764183533</v>
      </c>
      <c r="H8" s="2" t="s">
        <v>10</v>
      </c>
    </row>
    <row r="9" customFormat="false" ht="15" hidden="false" customHeight="false" outlineLevel="0" collapsed="false">
      <c r="A9" s="2" t="n">
        <v>2021</v>
      </c>
      <c r="B9" s="2" t="s">
        <v>13</v>
      </c>
      <c r="C9" s="3" t="n">
        <v>3266601</v>
      </c>
      <c r="D9" s="3" t="n">
        <v>32632</v>
      </c>
      <c r="E9" s="2" t="s">
        <v>9</v>
      </c>
      <c r="F9" s="4" t="n">
        <f aca="false">C9/D9/12</f>
        <v>8.34201857072812</v>
      </c>
      <c r="G9" s="5" t="n">
        <f aca="false">C9/SUMIFS($C$2:$C$25,$A$2:$A$25,A9)</f>
        <v>0.110674101495702</v>
      </c>
      <c r="H9" s="2" t="s">
        <v>10</v>
      </c>
    </row>
    <row r="10" customFormat="false" ht="15" hidden="false" customHeight="false" outlineLevel="0" collapsed="false">
      <c r="A10" s="2" t="n">
        <v>2022</v>
      </c>
      <c r="B10" s="2" t="s">
        <v>8</v>
      </c>
      <c r="C10" s="3" t="n">
        <v>14084643</v>
      </c>
      <c r="D10" s="3" t="n">
        <v>74296</v>
      </c>
      <c r="E10" s="2" t="s">
        <v>9</v>
      </c>
      <c r="F10" s="4" t="n">
        <f aca="false">C10/D10/12</f>
        <v>15.7978928879078</v>
      </c>
      <c r="G10" s="5" t="n">
        <f aca="false">C10/SUMIFS($C$2:$C$25,$A$2:$A$25,A10)</f>
        <v>0.447559874129691</v>
      </c>
      <c r="H10" s="2" t="s">
        <v>10</v>
      </c>
    </row>
    <row r="11" customFormat="false" ht="15" hidden="false" customHeight="false" outlineLevel="0" collapsed="false">
      <c r="A11" s="2" t="n">
        <v>2022</v>
      </c>
      <c r="B11" s="2" t="s">
        <v>11</v>
      </c>
      <c r="C11" s="3" t="n">
        <v>9745015</v>
      </c>
      <c r="D11" s="3" t="n">
        <v>76729</v>
      </c>
      <c r="E11" s="2" t="s">
        <v>9</v>
      </c>
      <c r="F11" s="4" t="n">
        <f aca="false">C11/D11/12</f>
        <v>10.5838025170839</v>
      </c>
      <c r="G11" s="5" t="n">
        <f aca="false">C11/SUMIFS($C$2:$C$25,$A$2:$A$25,A11)</f>
        <v>0.309661926595651</v>
      </c>
      <c r="H11" s="2" t="s">
        <v>10</v>
      </c>
    </row>
    <row r="12" customFormat="false" ht="15" hidden="false" customHeight="false" outlineLevel="0" collapsed="false">
      <c r="A12" s="2" t="n">
        <v>2022</v>
      </c>
      <c r="B12" s="2" t="s">
        <v>12</v>
      </c>
      <c r="C12" s="3" t="n">
        <v>4069973</v>
      </c>
      <c r="D12" s="3" t="n">
        <v>41699</v>
      </c>
      <c r="E12" s="2" t="s">
        <v>9</v>
      </c>
      <c r="F12" s="4" t="n">
        <f aca="false">C12/D12/12</f>
        <v>8.13363429978337</v>
      </c>
      <c r="G12" s="5" t="n">
        <f aca="false">C12/SUMIFS($C$2:$C$25,$A$2:$A$25,A12)</f>
        <v>0.129329270439531</v>
      </c>
      <c r="H12" s="2" t="s">
        <v>10</v>
      </c>
    </row>
    <row r="13" customFormat="false" ht="15" hidden="false" customHeight="false" outlineLevel="0" collapsed="false">
      <c r="A13" s="2" t="n">
        <v>2022</v>
      </c>
      <c r="B13" s="2" t="s">
        <v>13</v>
      </c>
      <c r="C13" s="3" t="n">
        <v>3570221</v>
      </c>
      <c r="D13" s="3" t="n">
        <v>38023</v>
      </c>
      <c r="E13" s="2" t="s">
        <v>9</v>
      </c>
      <c r="F13" s="4" t="n">
        <f aca="false">C13/D13/12</f>
        <v>7.82469601732285</v>
      </c>
      <c r="G13" s="5" t="n">
        <f aca="false">C13/SUMIFS($C$2:$C$25,$A$2:$A$25,A13)</f>
        <v>0.113448928835128</v>
      </c>
      <c r="H13" s="2" t="s">
        <v>10</v>
      </c>
    </row>
    <row r="14" customFormat="false" ht="15" hidden="false" customHeight="false" outlineLevel="0" collapsed="false">
      <c r="A14" s="2" t="n">
        <v>2023</v>
      </c>
      <c r="B14" s="2" t="s">
        <v>8</v>
      </c>
      <c r="C14" s="3" t="n">
        <v>14873783</v>
      </c>
      <c r="D14" s="3" t="n">
        <v>80110</v>
      </c>
      <c r="E14" s="2" t="s">
        <v>14</v>
      </c>
      <c r="F14" s="4" t="n">
        <f aca="false">C14/D14/12</f>
        <v>15.4722496151126</v>
      </c>
      <c r="G14" s="5" t="n">
        <f aca="false">C14/SUMIFS($C$2:$C$25,$A$2:$A$25,A14)</f>
        <v>0.44213972948882</v>
      </c>
      <c r="H14" s="2" t="s">
        <v>10</v>
      </c>
    </row>
    <row r="15" customFormat="false" ht="15" hidden="false" customHeight="false" outlineLevel="0" collapsed="false">
      <c r="A15" s="2" t="n">
        <v>2023</v>
      </c>
      <c r="B15" s="2" t="s">
        <v>11</v>
      </c>
      <c r="C15" s="3" t="n">
        <v>10556487</v>
      </c>
      <c r="D15" s="3" t="n">
        <v>88770</v>
      </c>
      <c r="E15" s="2" t="s">
        <v>14</v>
      </c>
      <c r="F15" s="4" t="n">
        <f aca="false">C15/D15/12</f>
        <v>9.90996113551876</v>
      </c>
      <c r="G15" s="5" t="n">
        <f aca="false">C15/SUMIFS($C$2:$C$25,$A$2:$A$25,A15)</f>
        <v>0.313803307909779</v>
      </c>
      <c r="H15" s="2" t="s">
        <v>10</v>
      </c>
    </row>
    <row r="16" customFormat="false" ht="15" hidden="false" customHeight="false" outlineLevel="0" collapsed="false">
      <c r="A16" s="2" t="n">
        <v>2023</v>
      </c>
      <c r="B16" s="2" t="s">
        <v>12</v>
      </c>
      <c r="C16" s="3" t="n">
        <v>4446461</v>
      </c>
      <c r="D16" s="3" t="n">
        <v>45997</v>
      </c>
      <c r="E16" s="2" t="s">
        <v>9</v>
      </c>
      <c r="F16" s="4" t="n">
        <f aca="false">C16/D16/12</f>
        <v>8.05570834329775</v>
      </c>
      <c r="G16" s="5" t="n">
        <f aca="false">C16/SUMIFS($C$2:$C$25,$A$2:$A$25,A16)</f>
        <v>0.132175994750131</v>
      </c>
      <c r="H16" s="2" t="s">
        <v>10</v>
      </c>
    </row>
    <row r="17" customFormat="false" ht="15" hidden="false" customHeight="false" outlineLevel="0" collapsed="false">
      <c r="A17" s="2" t="n">
        <v>2023</v>
      </c>
      <c r="B17" s="2" t="s">
        <v>13</v>
      </c>
      <c r="C17" s="3" t="n">
        <v>3763727</v>
      </c>
      <c r="D17" s="3" t="n">
        <v>45338</v>
      </c>
      <c r="E17" s="2" t="s">
        <v>9</v>
      </c>
      <c r="F17" s="4" t="n">
        <f aca="false">C17/D17/12</f>
        <v>6.91790367168086</v>
      </c>
      <c r="G17" s="5" t="n">
        <f aca="false">C17/SUMIFS($C$2:$C$25,$A$2:$A$25,A17)</f>
        <v>0.11188096785127</v>
      </c>
      <c r="H17" s="2" t="s">
        <v>10</v>
      </c>
    </row>
    <row r="18" customFormat="false" ht="15" hidden="false" customHeight="false" outlineLevel="0" collapsed="false">
      <c r="A18" s="2" t="n">
        <v>2024</v>
      </c>
      <c r="B18" s="2" t="s">
        <v>8</v>
      </c>
      <c r="C18" s="3" t="n">
        <v>17359369</v>
      </c>
      <c r="D18" s="3" t="n">
        <v>89600</v>
      </c>
      <c r="E18" s="2" t="s">
        <v>9</v>
      </c>
      <c r="F18" s="4" t="n">
        <f aca="false">C18/D18/12</f>
        <v>16.1452464657738</v>
      </c>
      <c r="G18" s="5" t="n">
        <f aca="false">C18/SUMIFS($C$2:$C$25,$A$2:$A$25,A18)</f>
        <v>0.44510100083162</v>
      </c>
      <c r="H18" s="2" t="s">
        <v>10</v>
      </c>
    </row>
    <row r="19" customFormat="false" ht="15" hidden="false" customHeight="false" outlineLevel="0" collapsed="false">
      <c r="A19" s="2" t="n">
        <v>2024</v>
      </c>
      <c r="B19" s="2" t="s">
        <v>11</v>
      </c>
      <c r="C19" s="3" t="n">
        <v>12387035</v>
      </c>
      <c r="D19" s="3" t="n">
        <v>101300</v>
      </c>
      <c r="E19" s="2" t="s">
        <v>9</v>
      </c>
      <c r="F19" s="4" t="n">
        <f aca="false">C19/D19/12</f>
        <v>10.1900584073708</v>
      </c>
      <c r="G19" s="5" t="n">
        <f aca="false">C19/SUMIFS($C$2:$C$25,$A$2:$A$25,A19)</f>
        <v>0.317608415135153</v>
      </c>
      <c r="H19" s="2" t="s">
        <v>10</v>
      </c>
    </row>
    <row r="20" customFormat="false" ht="15" hidden="false" customHeight="false" outlineLevel="0" collapsed="false">
      <c r="A20" s="2" t="n">
        <v>2024</v>
      </c>
      <c r="B20" s="2" t="s">
        <v>12</v>
      </c>
      <c r="C20" s="3" t="n">
        <v>4839816</v>
      </c>
      <c r="D20" s="3" t="n">
        <v>53300</v>
      </c>
      <c r="E20" s="2" t="s">
        <v>9</v>
      </c>
      <c r="F20" s="4" t="n">
        <f aca="false">C20/D20/12</f>
        <v>7.56694183864916</v>
      </c>
      <c r="G20" s="5" t="n">
        <f aca="false">C20/SUMIFS($C$2:$C$25,$A$2:$A$25,A20)</f>
        <v>0.124094772421791</v>
      </c>
      <c r="H20" s="2" t="s">
        <v>10</v>
      </c>
    </row>
    <row r="21" customFormat="false" ht="15" hidden="false" customHeight="false" outlineLevel="0" collapsed="false">
      <c r="A21" s="2" t="n">
        <v>2024</v>
      </c>
      <c r="B21" s="2" t="s">
        <v>13</v>
      </c>
      <c r="C21" s="3" t="n">
        <v>4414746</v>
      </c>
      <c r="D21" s="3" t="n">
        <v>57300</v>
      </c>
      <c r="E21" s="2" t="s">
        <v>9</v>
      </c>
      <c r="F21" s="4" t="n">
        <f aca="false">C21/D21/12</f>
        <v>6.42051483420593</v>
      </c>
      <c r="G21" s="5" t="n">
        <f aca="false">C21/SUMIFS($C$2:$C$25,$A$2:$A$25,A21)</f>
        <v>0.113195811611435</v>
      </c>
      <c r="H21" s="2" t="s">
        <v>10</v>
      </c>
    </row>
    <row r="22" customFormat="false" ht="15" hidden="false" customHeight="false" outlineLevel="0" collapsed="false">
      <c r="A22" s="2" t="n">
        <v>2025</v>
      </c>
      <c r="B22" s="2" t="s">
        <v>8</v>
      </c>
      <c r="C22" s="3" t="n">
        <v>19957152</v>
      </c>
      <c r="D22" s="3" t="n">
        <v>96600</v>
      </c>
      <c r="E22" s="2" t="s">
        <v>14</v>
      </c>
      <c r="F22" s="4" t="n">
        <f aca="false">C22/D22/12</f>
        <v>17.216314699793</v>
      </c>
      <c r="G22" s="5" t="n">
        <f aca="false">C22/SUMIFS($C$2:$C$25,$A$2:$A$25,A22)</f>
        <v>0.441695684194395</v>
      </c>
      <c r="H22" s="2" t="s">
        <v>10</v>
      </c>
    </row>
    <row r="23" customFormat="false" ht="15" hidden="false" customHeight="false" outlineLevel="0" collapsed="false">
      <c r="A23" s="2" t="n">
        <v>2025</v>
      </c>
      <c r="B23" s="2" t="s">
        <v>11</v>
      </c>
      <c r="C23" s="3" t="n">
        <v>14514646</v>
      </c>
      <c r="D23" s="3" t="n">
        <v>109200</v>
      </c>
      <c r="E23" s="2" t="s">
        <v>14</v>
      </c>
      <c r="F23" s="4" t="n">
        <f aca="false">C23/D23/12</f>
        <v>11.0765003052503</v>
      </c>
      <c r="G23" s="5" t="n">
        <f aca="false">C23/SUMIFS($C$2:$C$25,$A$2:$A$25,A23)</f>
        <v>0.321241051619462</v>
      </c>
      <c r="H23" s="2" t="s">
        <v>10</v>
      </c>
    </row>
    <row r="24" customFormat="false" ht="15" hidden="false" customHeight="false" outlineLevel="0" collapsed="false">
      <c r="A24" s="2" t="n">
        <v>2025</v>
      </c>
      <c r="B24" s="2" t="s">
        <v>12</v>
      </c>
      <c r="C24" s="3" t="n">
        <v>5357521</v>
      </c>
      <c r="D24" s="3" t="n">
        <v>57400</v>
      </c>
      <c r="E24" s="2" t="s">
        <v>14</v>
      </c>
      <c r="F24" s="4" t="n">
        <f aca="false">C24/D24/12</f>
        <v>7.77805023228804</v>
      </c>
      <c r="G24" s="5" t="n">
        <f aca="false">C24/SUMIFS($C$2:$C$25,$A$2:$A$25,A24)</f>
        <v>0.118573727537919</v>
      </c>
      <c r="H24" s="2" t="s">
        <v>10</v>
      </c>
    </row>
    <row r="25" customFormat="false" ht="15" hidden="false" customHeight="false" outlineLevel="0" collapsed="false">
      <c r="A25" s="2" t="n">
        <v>2025</v>
      </c>
      <c r="B25" s="2" t="s">
        <v>13</v>
      </c>
      <c r="C25" s="3" t="n">
        <v>5353717</v>
      </c>
      <c r="D25" s="3" t="n">
        <v>61800</v>
      </c>
      <c r="E25" s="2" t="s">
        <v>14</v>
      </c>
      <c r="F25" s="4" t="n">
        <f aca="false">C25/D25/12</f>
        <v>7.21914374325782</v>
      </c>
      <c r="G25" s="5" t="n">
        <f aca="false">C25/SUMIFS($C$2:$C$25,$A$2:$A$25,A25)</f>
        <v>0.118489536648223</v>
      </c>
      <c r="H25"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6"/>
    <col collapsed="false" customWidth="true" hidden="false" outlineLevel="0" max="4" min="4" style="0" width="28"/>
    <col collapsed="false" customWidth="true" hidden="false" outlineLevel="0" max="5" min="5" style="0" width="20"/>
  </cols>
  <sheetData>
    <row r="1" customFormat="false" ht="15" hidden="false" customHeight="false" outlineLevel="0" collapsed="false">
      <c r="A1" s="1" t="s">
        <v>0</v>
      </c>
      <c r="B1" s="1" t="s">
        <v>15</v>
      </c>
      <c r="C1" s="1" t="s">
        <v>16</v>
      </c>
      <c r="D1" s="1" t="s">
        <v>17</v>
      </c>
      <c r="E1" s="1" t="s">
        <v>18</v>
      </c>
    </row>
    <row r="2" customFormat="false" ht="15" hidden="false" customHeight="false" outlineLevel="0" collapsed="false">
      <c r="A2" s="2" t="n">
        <v>2020</v>
      </c>
      <c r="B2" s="6" t="n">
        <f aca="false">SUMIFS(Regional_Revenue_Data!$C$2:$C$25,Regional_Revenue_Data!$A$2:$A$25,A2)</f>
        <v>24756675</v>
      </c>
      <c r="C2" s="2" t="s">
        <v>19</v>
      </c>
      <c r="D2" s="2" t="n">
        <f aca="false">SUMIFS(Regional_Revenue_Data!$D$2:$D$25,Regional_Revenue_Data!$A$2:$A$25,A2)</f>
        <v>203663</v>
      </c>
      <c r="E2" s="4" t="n">
        <f aca="false">B2/D2/12</f>
        <v>10.1297547910028</v>
      </c>
    </row>
    <row r="3" customFormat="false" ht="15" hidden="false" customHeight="false" outlineLevel="0" collapsed="false">
      <c r="A3" s="2" t="n">
        <v>2021</v>
      </c>
      <c r="B3" s="6" t="n">
        <f aca="false">SUMIFS(Regional_Revenue_Data!$C$2:$C$25,Regional_Revenue_Data!$A$2:$A$25,A3)</f>
        <v>29515496</v>
      </c>
      <c r="C3" s="5" t="n">
        <f aca="false">B3/B2-1</f>
        <v>0.192223753795693</v>
      </c>
      <c r="D3" s="2" t="n">
        <f aca="false">SUMIFS(Regional_Revenue_Data!$D$2:$D$25,Regional_Revenue_Data!$A$2:$A$25,A3)</f>
        <v>221844</v>
      </c>
      <c r="E3" s="4" t="n">
        <f aca="false">B3/D3/12</f>
        <v>11.0871813827134</v>
      </c>
    </row>
    <row r="4" customFormat="false" ht="15" hidden="false" customHeight="false" outlineLevel="0" collapsed="false">
      <c r="A4" s="2" t="n">
        <v>2022</v>
      </c>
      <c r="B4" s="6" t="n">
        <f aca="false">SUMIFS(Regional_Revenue_Data!$C$2:$C$25,Regional_Revenue_Data!$A$2:$A$25,A4)</f>
        <v>31469852</v>
      </c>
      <c r="C4" s="5" t="n">
        <f aca="false">B4/B3-1</f>
        <v>0.0662145742019717</v>
      </c>
      <c r="D4" s="2" t="n">
        <f aca="false">SUMIFS(Regional_Revenue_Data!$D$2:$D$25,Regional_Revenue_Data!$A$2:$A$25,A4)</f>
        <v>230747</v>
      </c>
      <c r="E4" s="4" t="n">
        <f aca="false">B4/D4/12</f>
        <v>11.3652080705997</v>
      </c>
    </row>
    <row r="5" customFormat="false" ht="15" hidden="false" customHeight="false" outlineLevel="0" collapsed="false">
      <c r="A5" s="2" t="n">
        <v>2023</v>
      </c>
      <c r="B5" s="6" t="n">
        <f aca="false">SUMIFS(Regional_Revenue_Data!$C$2:$C$25,Regional_Revenue_Data!$A$2:$A$25,A5)</f>
        <v>33640458</v>
      </c>
      <c r="C5" s="5" t="n">
        <f aca="false">B5/B4-1</f>
        <v>0.0689741407109255</v>
      </c>
      <c r="D5" s="2" t="n">
        <f aca="false">SUMIFS(Regional_Revenue_Data!$D$2:$D$25,Regional_Revenue_Data!$A$2:$A$25,A5)</f>
        <v>260215</v>
      </c>
      <c r="E5" s="4" t="n">
        <f aca="false">B5/D5/12</f>
        <v>10.7732893953077</v>
      </c>
    </row>
    <row r="6" customFormat="false" ht="15" hidden="false" customHeight="false" outlineLevel="0" collapsed="false">
      <c r="A6" s="2" t="n">
        <v>2024</v>
      </c>
      <c r="B6" s="6" t="n">
        <f aca="false">SUMIFS(Regional_Revenue_Data!$C$2:$C$25,Regional_Revenue_Data!$A$2:$A$25,A6)</f>
        <v>39000966</v>
      </c>
      <c r="C6" s="5" t="n">
        <f aca="false">B6/B5-1</f>
        <v>0.15934705764113</v>
      </c>
      <c r="D6" s="2" t="n">
        <f aca="false">SUMIFS(Regional_Revenue_Data!$D$2:$D$25,Regional_Revenue_Data!$A$2:$A$25,A6)</f>
        <v>301500</v>
      </c>
      <c r="E6" s="4" t="n">
        <f aca="false">B6/D6/12</f>
        <v>10.7797031509121</v>
      </c>
    </row>
    <row r="7" customFormat="false" ht="15" hidden="false" customHeight="false" outlineLevel="0" collapsed="false">
      <c r="A7" s="2" t="n">
        <v>2025</v>
      </c>
      <c r="B7" s="6" t="n">
        <f aca="false">SUMIFS(Regional_Revenue_Data!$C$2:$C$25,Regional_Revenue_Data!$A$2:$A$25,A7)</f>
        <v>45183036</v>
      </c>
      <c r="C7" s="5" t="n">
        <f aca="false">B7/B6-1</f>
        <v>0.158510689196775</v>
      </c>
      <c r="D7" s="2" t="n">
        <f aca="false">SUMIFS(Regional_Revenue_Data!$D$2:$D$25,Regional_Revenue_Data!$A$2:$A$25,A7)</f>
        <v>325000</v>
      </c>
      <c r="E7" s="4" t="n">
        <f aca="false">B7/D7/12</f>
        <v>11.5853938461538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75" hidden="false" customHeight="true" outlineLevel="0" collapsed="false">
      <c r="A1" s="7" t="s">
        <v>20</v>
      </c>
    </row>
    <row r="2" customFormat="false" ht="15.75" hidden="false" customHeight="true" outlineLevel="0" collapsed="false">
      <c r="A2" s="8"/>
    </row>
    <row r="3" customFormat="false" ht="30" hidden="false" customHeight="true" outlineLevel="0" collapsed="false">
      <c r="A3" s="8" t="s">
        <v>21</v>
      </c>
    </row>
    <row r="4" customFormat="false" ht="15.75" hidden="false" customHeight="true" outlineLevel="0" collapsed="false">
      <c r="A4" s="8"/>
    </row>
    <row r="5" customFormat="false" ht="30" hidden="false" customHeight="true" outlineLevel="0" collapsed="false">
      <c r="A5" s="8" t="s">
        <v>22</v>
      </c>
    </row>
    <row r="6" customFormat="false" ht="15.75" hidden="false" customHeight="true" outlineLevel="0" collapsed="false">
      <c r="A6" s="8"/>
    </row>
    <row r="7" customFormat="false" ht="30" hidden="false" customHeight="true" outlineLevel="0" collapsed="false">
      <c r="A7" s="8" t="s">
        <v>23</v>
      </c>
    </row>
    <row r="8" customFormat="false" ht="15.75" hidden="false" customHeight="true" outlineLevel="0" collapsed="false">
      <c r="A8" s="8"/>
    </row>
    <row r="9" customFormat="false" ht="15.75" hidden="false" customHeight="true" outlineLevel="0" collapsed="false">
      <c r="A9" s="8" t="s">
        <v>24</v>
      </c>
    </row>
    <row r="10" customFormat="false" ht="30" hidden="false" customHeight="true" outlineLevel="0" collapsed="false">
      <c r="A10" s="8" t="s">
        <v>25</v>
      </c>
    </row>
    <row r="11" customFormat="false" ht="30" hidden="false" customHeight="true" outlineLevel="0" collapsed="false">
      <c r="A11" s="8" t="s">
        <v>26</v>
      </c>
    </row>
    <row r="12" customFormat="false" ht="15.75" hidden="false" customHeight="true" outlineLevel="0" collapsed="false">
      <c r="A12" s="8"/>
    </row>
    <row r="13" customFormat="false" ht="30" hidden="false" customHeight="true" outlineLevel="0" collapsed="false">
      <c r="A13" s="8" t="s">
        <v>27</v>
      </c>
    </row>
    <row r="14" customFormat="false" ht="15.75" hidden="false" customHeight="true" outlineLevel="0" collapsed="false">
      <c r="A14" s="8"/>
    </row>
    <row r="15" customFormat="false" ht="30" hidden="false" customHeight="true" outlineLevel="0" collapsed="false">
      <c r="A15" s="8"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2026-09-13T03:45:22Z</dcterms:created>
  <dc:creator>openpyxl</dc:creator>
  <dc:description/>
  <dc:language>en-US</dc:language>
  <cp:lastModifiedBy/>
  <dcterms:modified xsi:type="dcterms:W3CDTF">2026-09-13T03:45:22Z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